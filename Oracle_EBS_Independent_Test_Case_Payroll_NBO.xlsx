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OA UPGRADE QA PROJECT\Integrations\"/>
    </mc:Choice>
  </mc:AlternateContent>
  <xr:revisionPtr revIDLastSave="0" documentId="13_ncr:1_{BA18DE14-0ADA-40F3-A45D-0C39041EF3F4}" xr6:coauthVersionLast="47" xr6:coauthVersionMax="47" xr10:uidLastSave="{00000000-0000-0000-0000-000000000000}"/>
  <bookViews>
    <workbookView xWindow="-120" yWindow="-120" windowWidth="20730" windowHeight="11040" xr2:uid="{00000000-000D-0000-FFFF-FFFF00000000}"/>
  </bookViews>
  <sheets>
    <sheet name="Payroll_NBO" sheetId="1" r:id="rId1"/>
    <sheet name="Execution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4" i="2"/>
  <c r="B3" i="2"/>
</calcChain>
</file>

<file path=xl/sharedStrings.xml><?xml version="1.0" encoding="utf-8"?>
<sst xmlns="http://schemas.openxmlformats.org/spreadsheetml/2006/main" count="267" uniqueCount="92">
  <si>
    <t>TC_ID</t>
  </si>
  <si>
    <t>Module</t>
  </si>
  <si>
    <t>Responsibility</t>
  </si>
  <si>
    <t>Business Scenario</t>
  </si>
  <si>
    <t>Test Case Title</t>
  </si>
  <si>
    <t>Pre-Requisites</t>
  </si>
  <si>
    <t>Test Steps</t>
  </si>
  <si>
    <t>Test Data</t>
  </si>
  <si>
    <t>Expected Result</t>
  </si>
  <si>
    <t>Actual Result</t>
  </si>
  <si>
    <t>Status</t>
  </si>
  <si>
    <t>Severity</t>
  </si>
  <si>
    <t>Tester</t>
  </si>
  <si>
    <t>Test Date</t>
  </si>
  <si>
    <t>Defect ID</t>
  </si>
  <si>
    <t>Comments</t>
  </si>
  <si>
    <t>Oracle EBS Independent Test Execution Summary</t>
  </si>
  <si>
    <t>Total Test Cases</t>
  </si>
  <si>
    <t>Passed</t>
  </si>
  <si>
    <t>Failed</t>
  </si>
  <si>
    <t>Blocked</t>
  </si>
  <si>
    <t>Category</t>
  </si>
  <si>
    <t>Positive</t>
  </si>
  <si>
    <t>Complexity</t>
  </si>
  <si>
    <t>Simple</t>
  </si>
  <si>
    <t>Medium</t>
  </si>
  <si>
    <t>Global HRMS Manager</t>
  </si>
  <si>
    <t>NA</t>
  </si>
  <si>
    <t>1. Login as 60533 
2. Navigate to 'Global HRMS Manager'
3. People
4. View
5. Request --&gt; Submit a New Request</t>
  </si>
  <si>
    <t>Payroll File integration with CBO</t>
  </si>
  <si>
    <t>The new directory  /APPS_FILES/xxap/NBO_EBANK/OUT/Request should be available</t>
  </si>
  <si>
    <t>The new directory  /APPS_FILES/xxpay/bank_files  should be available</t>
  </si>
  <si>
    <t>Run the concurrent program ‘OA Custom Bank Transfer Files CBO - Excel New’ with the required parameter for Base Payroll</t>
  </si>
  <si>
    <t>The concurrent program should be assigned to the request group of the responsibility 'Global HRMS Manager'</t>
  </si>
  <si>
    <t>The program should generate the payroll file of all Base Payroll Staffs and placed in the directory - /APPS_FILES/xxap/NBO_EBANK/OUT/Request</t>
  </si>
  <si>
    <t xml:space="preserve">Run the concurrent progran with the below parameters - 
Payroll Name --&gt; Base Payroll
Payroll Period --&gt; 9 2026 Calendar Month
Consolidation Set --&gt; 
Payroll Action --&gt; 
Payment Date --&gt; </t>
  </si>
  <si>
    <t>Verify the directory path in the DB for the property file as below - 
/EBSapps/appl/ap/12.0.0/bin/XXOA_NBO_EBANK.properties</t>
  </si>
  <si>
    <t xml:space="preserve">Verify the shell script 'req_ebank' in the path - /backup/nfsdrive/APPS_FILES/xxap/NBO_EBANK/scripts folder </t>
  </si>
  <si>
    <t>Validate the file in ACK or NACK folder in the bank server</t>
  </si>
  <si>
    <t>Verify the table 'XXOA_OIC_AUDIT_LOG_TBL' which captures the integration code, created by, transaction id and status</t>
  </si>
  <si>
    <t>Negative</t>
  </si>
  <si>
    <t>Verify the directory path in the application side for placing the .csv file in the format requested by the vendor. The absolute path of the directory will be as below – 
/backup/nfsdrive/APPS_FILES/xxpay/bank_files (Directory Name - XXOA_HR_BANK_FILES)</t>
  </si>
  <si>
    <t>Verify the Host file 'XXOA_NBO_BANK_SFTP' in the path - $AP_TOP/bin (will encrypt the csv file in .gpg format and then copy it from apps directory to SFTP)</t>
  </si>
  <si>
    <t>In the second concurrent program ‘OA Custom Bank Transfer Files CBO Moving Program ’ executable will run the host file and the host file will refer the parameter details of this program where the property file path is passed as parameter. The host file will copy the file from XXOA_HR_BANK_FILES directory and encrypt it in .gpg format and then call the script req_ebank and transfer the .gpg file to the SFTP path - /bank_nbo/wps</t>
  </si>
  <si>
    <t>The required directory path should have been created in ERP</t>
  </si>
  <si>
    <t xml:space="preserve">Verify the encrypted SIF file is available in the OIC File Server NBO folder before processing begins. </t>
  </si>
  <si>
    <t>To be done by DBA</t>
  </si>
  <si>
    <t>Payroll to NBO Bank File Integration</t>
  </si>
  <si>
    <t>The payroll SIP file should be successfully created</t>
  </si>
  <si>
    <t xml:space="preserve">Verify the file is retrieved from the OIC File Server and delivered, unmodified, to the NBO folder. </t>
  </si>
  <si>
    <t xml:space="preserve">1. In the same instance, open the Activity Stream and locate the SFTP Adapter delivery step. 
2. Confirm the step completes successfully. 
3. Log into Target Server and confirm the file is present in the Bank NBO inbound folder. 
4. Compare the file name and size against the source file confirmed in TS_01. </t>
  </si>
  <si>
    <t xml:space="preserve">1. Place a Payment file (e.g., SIF_1234567_NBO_YYYYMMDD.csv) in the OIC File Server NBO folder. 
2. Open the OIC File Server folder listing and confirm the file is visible. </t>
  </si>
  <si>
    <t>The file SIF_1234567_NBO_YYYYMMDD.csv is present in the OIC File Server NBO folder with a non-zero size.</t>
  </si>
  <si>
    <t>Verify the correct notification type is sent, with accurate content, based on the instance's actual outcome.</t>
  </si>
  <si>
    <t>1. Confirm the instance's final status in OIC Monitoring &gt; Tracking (Succeeded or Failed). 
2. Open the designated recipient's email inbox. 
3. If Succeeded, check the success email: confirm the file name, Transaction ID, and delivery confirmation details. 
4. If Failed , check the failure email instead: confirm the file name, Transaction ID, and error details. 
5. Confirm only the notification matching the actual outcome was received — no success email on a failed run, and no failure email on a successful run.</t>
  </si>
  <si>
    <t>The file is delivered to the Target Server— same file name and same file size .</t>
  </si>
  <si>
    <t>1. Verify the ACK and NACK folder.
2. If the file is succesfully processed by the Bnak then the file will be sent to the ACK folder
3. If the file is unsuccesfully processed by the Bnak then the file will be sent to the NACK folder</t>
  </si>
  <si>
    <t>verify the table 'XXOA_OIC_TRANSACTION_STATUS_TBL' which Tracks transaction stage, status, and error details.</t>
  </si>
  <si>
    <t>Run the concurrent program ‘OA Custom Bank Transfer Files CBO - Excel New’ with the required parameter for Executive Payroll</t>
  </si>
  <si>
    <t>Verify the correct notification type is sent, with accurate content, based on the instance's actual outcome for Executive Payroll</t>
  </si>
  <si>
    <t>Verify the table 'XXOA_OIC_AUDIT_LOG_TBL' which captures the integration code, created by, transaction id and status for Executive payroll transaction</t>
  </si>
  <si>
    <t>verify the table 'XXOA_OIC_TRANSACTION_STATUS_TBL' which Tracks transaction stage, status, and error details for Executive payroll transaction</t>
  </si>
  <si>
    <t>Run the concurrent program ‘OA Custom Bank Transfer Files CBO - Excel New’ with the required parameter for Executive Payroll again</t>
  </si>
  <si>
    <t>The file should be succesfully processed by the Bnak then the file should be sent to the ACK folder</t>
  </si>
  <si>
    <t>The file should not be succesfully processed by the Bnak then the file should be sent to the NACK folder</t>
  </si>
  <si>
    <t xml:space="preserve">On a failed run, exactly one failure email is received with accurate error details. The notification type always matches the actual instance outcome. </t>
  </si>
  <si>
    <t xml:space="preserve">On a successful run, exactly one success email is received with accurate delivery details. The notification type always matches the actual instance outcome. </t>
  </si>
  <si>
    <t>TC_PAYROLLNBO_001</t>
  </si>
  <si>
    <t>TC_PAYROLLNBO_002</t>
  </si>
  <si>
    <t>TC_PAYROLLNBO_003</t>
  </si>
  <si>
    <t>TC_PAYROLLNBO_004</t>
  </si>
  <si>
    <t>TC_PAYROLLNBO_005</t>
  </si>
  <si>
    <t>TC_PAYROLLNBO_006</t>
  </si>
  <si>
    <t>TC_PAYROLLNBO_007</t>
  </si>
  <si>
    <t>TC_PAYROLLNBO_008</t>
  </si>
  <si>
    <t>TC_PAYROLLNBO_009</t>
  </si>
  <si>
    <t>TC_PAYROLLNBO_010</t>
  </si>
  <si>
    <t>TC_PAYROLLNBO_011</t>
  </si>
  <si>
    <t>TC_PAYROLLNBO_012</t>
  </si>
  <si>
    <t>TC_PAYROLLNBO_013</t>
  </si>
  <si>
    <t>TC_PAYROLLNBO_014</t>
  </si>
  <si>
    <t>TC_PAYROLLNBO_015</t>
  </si>
  <si>
    <t>TC_PAYROLLNBO_016</t>
  </si>
  <si>
    <t>TC_PAYROLLNBO_017</t>
  </si>
  <si>
    <t>TC_PAYROLLNBO_018</t>
  </si>
  <si>
    <t>TC_PAYROLLNBO_019</t>
  </si>
  <si>
    <t>TC_PAYROLLNBO_020</t>
  </si>
  <si>
    <t>TC_PAYROLLNBO_021</t>
  </si>
  <si>
    <t>TC_PAYROLLNBO_022</t>
  </si>
  <si>
    <t>TC_PAYROLLNBO_023</t>
  </si>
  <si>
    <t>TC_PAYROLLNBO_024</t>
  </si>
  <si>
    <t>TC_PAYROLLNBO_025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</si>
</sst>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sz val="8"/>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wrapText="1"/>
    </xf>
    <xf numFmtId="0" fontId="2"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
  <sheetViews>
    <sheetView tabSelected="1" workbookViewId="0">
      <pane ySplit="1" topLeftCell="A2" activePane="bottomLeft" state="frozen"/>
      <selection pane="bottomLeft" activeCell="A2" sqref="A2"/>
    </sheetView>
  </sheetViews>
  <sheetFormatPr defaultRowHeight="79.5" customHeight="1" x14ac:dyDescent="0.25"/>
  <cols>
    <col min="1" max="1" width="20.140625" style="3" bestFit="1" customWidth="1"/>
    <col min="2" max="2" width="20.85546875" style="3" bestFit="1" customWidth="1"/>
    <col min="3" max="3" width="10.140625" style="3" customWidth="1"/>
    <col min="4" max="4" width="20" style="3" customWidth="1"/>
    <col min="5" max="5" width="11.42578125" style="3" customWidth="1"/>
    <col min="6" max="6" width="56.140625" style="3" customWidth="1"/>
    <col min="7" max="7" width="30.7109375" style="3" customWidth="1"/>
    <col min="8" max="8" width="32.42578125" style="3" customWidth="1"/>
    <col min="9" max="9" width="43.140625" style="3" customWidth="1"/>
    <col min="10" max="10" width="32.5703125" style="3" customWidth="1"/>
    <col min="11" max="11" width="52.7109375" style="3" customWidth="1"/>
    <col min="12" max="12" width="37.28515625" style="3" customWidth="1"/>
    <col min="13" max="14" width="12" style="3" customWidth="1"/>
    <col min="15" max="15" width="18" style="3" customWidth="1"/>
    <col min="16" max="17" width="15" style="3" customWidth="1"/>
    <col min="18" max="18" width="25" style="3" customWidth="1"/>
  </cols>
  <sheetData>
    <row r="1" spans="1:18" ht="29.25" customHeight="1" x14ac:dyDescent="0.25">
      <c r="A1" s="1" t="s">
        <v>0</v>
      </c>
      <c r="B1" s="1" t="s">
        <v>1</v>
      </c>
      <c r="C1" s="1" t="s">
        <v>21</v>
      </c>
      <c r="D1" s="1" t="s">
        <v>2</v>
      </c>
      <c r="E1" s="1" t="s">
        <v>23</v>
      </c>
      <c r="F1" s="1" t="s">
        <v>3</v>
      </c>
      <c r="G1" s="1" t="s">
        <v>4</v>
      </c>
      <c r="H1" s="1" t="s">
        <v>5</v>
      </c>
      <c r="I1" s="1" t="s">
        <v>6</v>
      </c>
      <c r="J1" s="1" t="s">
        <v>7</v>
      </c>
      <c r="K1" s="1" t="s">
        <v>8</v>
      </c>
      <c r="L1" s="1" t="s">
        <v>9</v>
      </c>
      <c r="M1" s="1" t="s">
        <v>10</v>
      </c>
      <c r="N1" s="1" t="s">
        <v>11</v>
      </c>
      <c r="O1" s="1" t="s">
        <v>12</v>
      </c>
      <c r="P1" s="1" t="s">
        <v>13</v>
      </c>
      <c r="Q1" s="1" t="s">
        <v>14</v>
      </c>
      <c r="R1" s="1" t="s">
        <v>15</v>
      </c>
    </row>
    <row r="2" spans="1:18" ht="79.5" customHeight="1" x14ac:dyDescent="0.25">
      <c r="A2" s="3" t="s">
        <v>67</v>
      </c>
      <c r="B2" s="4" t="s">
        <v>29</v>
      </c>
      <c r="C2" s="3" t="s">
        <v>22</v>
      </c>
      <c r="D2" s="3" t="s">
        <v>27</v>
      </c>
      <c r="E2" s="3" t="s">
        <v>24</v>
      </c>
      <c r="F2" s="4" t="s">
        <v>41</v>
      </c>
      <c r="G2" s="4" t="s">
        <v>47</v>
      </c>
      <c r="H2" s="4" t="s">
        <v>44</v>
      </c>
      <c r="I2" s="4" t="s">
        <v>46</v>
      </c>
      <c r="J2" s="4" t="s">
        <v>27</v>
      </c>
      <c r="K2" s="4" t="s">
        <v>30</v>
      </c>
    </row>
    <row r="3" spans="1:18" ht="79.5" customHeight="1" x14ac:dyDescent="0.25">
      <c r="A3" s="3" t="s">
        <v>68</v>
      </c>
      <c r="B3" s="4" t="s">
        <v>29</v>
      </c>
      <c r="C3" s="3" t="s">
        <v>22</v>
      </c>
      <c r="D3" s="3" t="s">
        <v>27</v>
      </c>
      <c r="E3" s="3" t="s">
        <v>24</v>
      </c>
      <c r="F3" s="4" t="s">
        <v>37</v>
      </c>
      <c r="G3" s="4" t="s">
        <v>47</v>
      </c>
      <c r="H3" s="4" t="s">
        <v>44</v>
      </c>
      <c r="I3" s="4" t="s">
        <v>46</v>
      </c>
      <c r="J3" s="4" t="s">
        <v>27</v>
      </c>
      <c r="K3" s="4"/>
    </row>
    <row r="4" spans="1:18" ht="79.5" customHeight="1" x14ac:dyDescent="0.25">
      <c r="A4" s="3" t="s">
        <v>69</v>
      </c>
      <c r="B4" s="4" t="s">
        <v>29</v>
      </c>
      <c r="C4" s="3" t="s">
        <v>22</v>
      </c>
      <c r="D4" s="3" t="s">
        <v>27</v>
      </c>
      <c r="E4" s="3" t="s">
        <v>24</v>
      </c>
      <c r="F4" s="4" t="s">
        <v>42</v>
      </c>
      <c r="G4" s="4" t="s">
        <v>47</v>
      </c>
      <c r="H4" s="4" t="s">
        <v>44</v>
      </c>
      <c r="I4" s="4" t="s">
        <v>46</v>
      </c>
      <c r="J4" s="4" t="s">
        <v>27</v>
      </c>
      <c r="K4" s="7" t="s">
        <v>43</v>
      </c>
    </row>
    <row r="5" spans="1:18" ht="79.5" customHeight="1" x14ac:dyDescent="0.25">
      <c r="A5" s="3" t="s">
        <v>70</v>
      </c>
      <c r="B5" s="4" t="s">
        <v>29</v>
      </c>
      <c r="C5" s="3" t="s">
        <v>22</v>
      </c>
      <c r="D5" s="3" t="s">
        <v>27</v>
      </c>
      <c r="E5" s="3" t="s">
        <v>24</v>
      </c>
      <c r="F5" s="4" t="s">
        <v>36</v>
      </c>
      <c r="G5" s="4" t="s">
        <v>47</v>
      </c>
      <c r="H5" s="4" t="s">
        <v>44</v>
      </c>
      <c r="I5" s="4" t="s">
        <v>46</v>
      </c>
      <c r="J5" s="4" t="s">
        <v>27</v>
      </c>
      <c r="K5" s="4" t="s">
        <v>31</v>
      </c>
    </row>
    <row r="6" spans="1:18" ht="79.5" customHeight="1" x14ac:dyDescent="0.25">
      <c r="A6" s="3" t="s">
        <v>71</v>
      </c>
      <c r="B6" s="4" t="s">
        <v>29</v>
      </c>
      <c r="C6" s="3" t="s">
        <v>22</v>
      </c>
      <c r="D6" s="3" t="s">
        <v>26</v>
      </c>
      <c r="E6" s="3" t="s">
        <v>25</v>
      </c>
      <c r="F6" s="4" t="s">
        <v>32</v>
      </c>
      <c r="G6" s="4" t="s">
        <v>47</v>
      </c>
      <c r="H6" s="4" t="s">
        <v>33</v>
      </c>
      <c r="I6" s="6" t="s">
        <v>28</v>
      </c>
      <c r="J6" s="4" t="s">
        <v>35</v>
      </c>
      <c r="K6" s="4" t="s">
        <v>34</v>
      </c>
    </row>
    <row r="7" spans="1:18" ht="79.5" customHeight="1" x14ac:dyDescent="0.25">
      <c r="A7" s="3" t="s">
        <v>72</v>
      </c>
      <c r="B7" s="4" t="s">
        <v>29</v>
      </c>
      <c r="C7" s="3" t="s">
        <v>22</v>
      </c>
      <c r="D7" s="3" t="s">
        <v>27</v>
      </c>
      <c r="E7" s="3" t="s">
        <v>25</v>
      </c>
      <c r="F7" s="4" t="s">
        <v>45</v>
      </c>
      <c r="G7" s="4" t="s">
        <v>47</v>
      </c>
      <c r="H7" s="4" t="s">
        <v>48</v>
      </c>
      <c r="I7" s="4" t="s">
        <v>51</v>
      </c>
      <c r="J7" s="3" t="s">
        <v>27</v>
      </c>
      <c r="K7" s="4" t="s">
        <v>52</v>
      </c>
    </row>
    <row r="8" spans="1:18" ht="79.5" customHeight="1" x14ac:dyDescent="0.25">
      <c r="A8" s="3" t="s">
        <v>73</v>
      </c>
      <c r="B8" s="4" t="s">
        <v>29</v>
      </c>
      <c r="C8" s="3" t="s">
        <v>22</v>
      </c>
      <c r="D8" s="3" t="s">
        <v>27</v>
      </c>
      <c r="E8" s="3" t="s">
        <v>25</v>
      </c>
      <c r="F8" s="4" t="s">
        <v>49</v>
      </c>
      <c r="G8" s="4" t="s">
        <v>47</v>
      </c>
      <c r="H8" s="4" t="s">
        <v>48</v>
      </c>
      <c r="I8" s="4" t="s">
        <v>50</v>
      </c>
      <c r="J8" s="4" t="s">
        <v>27</v>
      </c>
      <c r="K8" s="4" t="s">
        <v>55</v>
      </c>
    </row>
    <row r="9" spans="1:18" ht="79.5" customHeight="1" x14ac:dyDescent="0.25">
      <c r="A9" s="3" t="s">
        <v>74</v>
      </c>
      <c r="B9" s="4" t="s">
        <v>29</v>
      </c>
      <c r="C9" s="3" t="s">
        <v>22</v>
      </c>
      <c r="D9" s="3" t="s">
        <v>27</v>
      </c>
      <c r="E9" s="3" t="s">
        <v>25</v>
      </c>
      <c r="F9" s="4" t="s">
        <v>53</v>
      </c>
      <c r="G9" s="4" t="s">
        <v>47</v>
      </c>
      <c r="H9" s="4" t="s">
        <v>48</v>
      </c>
      <c r="I9" s="4" t="s">
        <v>54</v>
      </c>
      <c r="J9" s="4" t="s">
        <v>27</v>
      </c>
      <c r="K9" s="4" t="s">
        <v>66</v>
      </c>
    </row>
    <row r="10" spans="1:18" ht="79.5" customHeight="1" x14ac:dyDescent="0.25">
      <c r="A10" s="3" t="s">
        <v>75</v>
      </c>
      <c r="B10" s="4" t="s">
        <v>29</v>
      </c>
      <c r="C10" s="3" t="s">
        <v>22</v>
      </c>
      <c r="D10" s="3" t="s">
        <v>27</v>
      </c>
      <c r="E10" s="3" t="s">
        <v>25</v>
      </c>
      <c r="F10" s="3" t="s">
        <v>38</v>
      </c>
      <c r="G10" s="4" t="s">
        <v>47</v>
      </c>
      <c r="I10" s="4" t="s">
        <v>56</v>
      </c>
      <c r="K10" s="4" t="s">
        <v>63</v>
      </c>
    </row>
    <row r="11" spans="1:18" ht="79.5" customHeight="1" x14ac:dyDescent="0.25">
      <c r="A11" s="3" t="s">
        <v>76</v>
      </c>
      <c r="B11" s="4" t="s">
        <v>29</v>
      </c>
      <c r="C11" s="3" t="s">
        <v>22</v>
      </c>
      <c r="D11" s="3" t="s">
        <v>27</v>
      </c>
      <c r="E11" s="3" t="s">
        <v>24</v>
      </c>
      <c r="F11" s="4" t="s">
        <v>39</v>
      </c>
      <c r="G11" s="4" t="s">
        <v>47</v>
      </c>
      <c r="H11" s="4"/>
      <c r="I11" s="4"/>
      <c r="K11" s="4"/>
    </row>
    <row r="12" spans="1:18" ht="79.5" customHeight="1" x14ac:dyDescent="0.25">
      <c r="A12" s="3" t="s">
        <v>77</v>
      </c>
      <c r="B12" s="4" t="s">
        <v>29</v>
      </c>
      <c r="C12" s="3" t="s">
        <v>22</v>
      </c>
      <c r="D12" s="3" t="s">
        <v>27</v>
      </c>
      <c r="E12" s="3" t="s">
        <v>24</v>
      </c>
      <c r="F12" s="4" t="s">
        <v>57</v>
      </c>
      <c r="G12" s="4" t="s">
        <v>47</v>
      </c>
      <c r="I12" s="4"/>
      <c r="K12" s="4"/>
    </row>
    <row r="13" spans="1:18" ht="79.5" customHeight="1" x14ac:dyDescent="0.25">
      <c r="A13" s="3" t="s">
        <v>78</v>
      </c>
      <c r="B13" s="4" t="s">
        <v>29</v>
      </c>
      <c r="C13" s="3" t="s">
        <v>22</v>
      </c>
      <c r="D13" s="3" t="s">
        <v>26</v>
      </c>
      <c r="E13" s="3" t="s">
        <v>25</v>
      </c>
      <c r="F13" s="4" t="s">
        <v>58</v>
      </c>
      <c r="G13" s="4" t="s">
        <v>47</v>
      </c>
      <c r="H13" s="4" t="s">
        <v>33</v>
      </c>
      <c r="I13" s="6" t="s">
        <v>28</v>
      </c>
      <c r="J13" s="4" t="s">
        <v>35</v>
      </c>
      <c r="K13" s="4" t="s">
        <v>34</v>
      </c>
    </row>
    <row r="14" spans="1:18" ht="79.5" customHeight="1" x14ac:dyDescent="0.25">
      <c r="A14" s="3" t="s">
        <v>79</v>
      </c>
      <c r="B14" s="4" t="s">
        <v>29</v>
      </c>
      <c r="C14" s="3" t="s">
        <v>22</v>
      </c>
      <c r="D14" s="3" t="s">
        <v>27</v>
      </c>
      <c r="E14" s="3" t="s">
        <v>25</v>
      </c>
      <c r="F14" s="4" t="s">
        <v>45</v>
      </c>
      <c r="G14" s="4" t="s">
        <v>47</v>
      </c>
      <c r="H14" s="4" t="s">
        <v>48</v>
      </c>
      <c r="I14" s="4" t="s">
        <v>51</v>
      </c>
      <c r="J14" s="3" t="s">
        <v>27</v>
      </c>
      <c r="K14" s="4" t="s">
        <v>52</v>
      </c>
    </row>
    <row r="15" spans="1:18" ht="79.5" customHeight="1" x14ac:dyDescent="0.25">
      <c r="A15" s="3" t="s">
        <v>80</v>
      </c>
      <c r="B15" s="4" t="s">
        <v>29</v>
      </c>
      <c r="C15" s="3" t="s">
        <v>22</v>
      </c>
      <c r="D15" s="3" t="s">
        <v>27</v>
      </c>
      <c r="E15" s="3" t="s">
        <v>25</v>
      </c>
      <c r="F15" s="4" t="s">
        <v>49</v>
      </c>
      <c r="G15" s="4" t="s">
        <v>47</v>
      </c>
      <c r="H15" s="4" t="s">
        <v>48</v>
      </c>
      <c r="I15" s="4" t="s">
        <v>50</v>
      </c>
      <c r="J15" s="4" t="s">
        <v>27</v>
      </c>
      <c r="K15" s="4" t="s">
        <v>55</v>
      </c>
    </row>
    <row r="16" spans="1:18" ht="79.5" customHeight="1" x14ac:dyDescent="0.25">
      <c r="A16" s="3" t="s">
        <v>81</v>
      </c>
      <c r="B16" s="4" t="s">
        <v>29</v>
      </c>
      <c r="C16" s="3" t="s">
        <v>22</v>
      </c>
      <c r="D16" s="3" t="s">
        <v>27</v>
      </c>
      <c r="E16" s="3" t="s">
        <v>25</v>
      </c>
      <c r="F16" s="4" t="s">
        <v>59</v>
      </c>
      <c r="G16" s="4" t="s">
        <v>47</v>
      </c>
      <c r="H16" s="4" t="s">
        <v>48</v>
      </c>
      <c r="I16" s="4" t="s">
        <v>54</v>
      </c>
      <c r="J16" s="4" t="s">
        <v>27</v>
      </c>
      <c r="K16" s="4" t="s">
        <v>66</v>
      </c>
    </row>
    <row r="17" spans="1:11" ht="79.5" customHeight="1" x14ac:dyDescent="0.25">
      <c r="A17" s="3" t="s">
        <v>82</v>
      </c>
      <c r="B17" s="4" t="s">
        <v>29</v>
      </c>
      <c r="C17" s="3" t="s">
        <v>22</v>
      </c>
      <c r="D17" s="3" t="s">
        <v>27</v>
      </c>
      <c r="E17" s="3" t="s">
        <v>25</v>
      </c>
      <c r="F17" s="3" t="s">
        <v>38</v>
      </c>
      <c r="G17" s="4" t="s">
        <v>47</v>
      </c>
      <c r="I17" s="4" t="s">
        <v>56</v>
      </c>
      <c r="K17" s="4" t="s">
        <v>63</v>
      </c>
    </row>
    <row r="18" spans="1:11" ht="79.5" customHeight="1" x14ac:dyDescent="0.25">
      <c r="A18" s="3" t="s">
        <v>83</v>
      </c>
      <c r="B18" s="4" t="s">
        <v>29</v>
      </c>
      <c r="C18" s="3" t="s">
        <v>22</v>
      </c>
      <c r="D18" s="3" t="s">
        <v>27</v>
      </c>
      <c r="E18" s="3" t="s">
        <v>24</v>
      </c>
      <c r="F18" s="4" t="s">
        <v>60</v>
      </c>
      <c r="G18" s="4" t="s">
        <v>47</v>
      </c>
      <c r="I18" s="4"/>
      <c r="K18" s="4"/>
    </row>
    <row r="19" spans="1:11" ht="79.5" customHeight="1" x14ac:dyDescent="0.25">
      <c r="A19" s="3" t="s">
        <v>84</v>
      </c>
      <c r="B19" s="4" t="s">
        <v>29</v>
      </c>
      <c r="C19" s="3" t="s">
        <v>22</v>
      </c>
      <c r="D19" s="3" t="s">
        <v>27</v>
      </c>
      <c r="E19" s="3" t="s">
        <v>24</v>
      </c>
      <c r="F19" s="4" t="s">
        <v>61</v>
      </c>
      <c r="G19" s="4" t="s">
        <v>47</v>
      </c>
      <c r="H19" s="4"/>
      <c r="I19" s="4"/>
      <c r="K19" s="4"/>
    </row>
    <row r="20" spans="1:11" ht="79.5" customHeight="1" x14ac:dyDescent="0.25">
      <c r="A20" s="3" t="s">
        <v>85</v>
      </c>
      <c r="B20" s="4" t="s">
        <v>29</v>
      </c>
      <c r="C20" s="3" t="s">
        <v>40</v>
      </c>
      <c r="D20" s="3" t="s">
        <v>26</v>
      </c>
      <c r="E20" s="3" t="s">
        <v>25</v>
      </c>
      <c r="F20" s="4" t="s">
        <v>62</v>
      </c>
      <c r="G20" s="4" t="s">
        <v>47</v>
      </c>
      <c r="H20" s="4" t="s">
        <v>33</v>
      </c>
      <c r="I20" s="6" t="s">
        <v>28</v>
      </c>
      <c r="J20" s="4" t="s">
        <v>35</v>
      </c>
      <c r="K20" s="4" t="s">
        <v>34</v>
      </c>
    </row>
    <row r="21" spans="1:11" ht="79.5" customHeight="1" x14ac:dyDescent="0.25">
      <c r="A21" s="3" t="s">
        <v>86</v>
      </c>
      <c r="B21" s="4" t="s">
        <v>29</v>
      </c>
      <c r="C21" s="3" t="s">
        <v>40</v>
      </c>
      <c r="D21" s="3" t="s">
        <v>27</v>
      </c>
      <c r="E21" s="3" t="s">
        <v>25</v>
      </c>
      <c r="F21" s="4" t="s">
        <v>45</v>
      </c>
      <c r="G21" s="4" t="s">
        <v>47</v>
      </c>
      <c r="H21" s="4" t="s">
        <v>48</v>
      </c>
      <c r="I21" s="4" t="s">
        <v>51</v>
      </c>
      <c r="J21" s="3" t="s">
        <v>27</v>
      </c>
      <c r="K21" s="4" t="s">
        <v>52</v>
      </c>
    </row>
    <row r="22" spans="1:11" ht="79.5" customHeight="1" x14ac:dyDescent="0.25">
      <c r="A22" s="3" t="s">
        <v>87</v>
      </c>
      <c r="B22" s="4" t="s">
        <v>29</v>
      </c>
      <c r="C22" s="3" t="s">
        <v>40</v>
      </c>
      <c r="D22" s="3" t="s">
        <v>27</v>
      </c>
      <c r="E22" s="3" t="s">
        <v>25</v>
      </c>
      <c r="F22" s="4" t="s">
        <v>49</v>
      </c>
      <c r="G22" s="4" t="s">
        <v>47</v>
      </c>
      <c r="H22" s="4" t="s">
        <v>48</v>
      </c>
      <c r="I22" s="4" t="s">
        <v>50</v>
      </c>
      <c r="J22" s="4" t="s">
        <v>27</v>
      </c>
      <c r="K22" s="4" t="s">
        <v>55</v>
      </c>
    </row>
    <row r="23" spans="1:11" ht="79.5" customHeight="1" x14ac:dyDescent="0.25">
      <c r="A23" s="3" t="s">
        <v>88</v>
      </c>
      <c r="B23" s="4" t="s">
        <v>29</v>
      </c>
      <c r="C23" s="3" t="s">
        <v>40</v>
      </c>
      <c r="D23" s="3" t="s">
        <v>27</v>
      </c>
      <c r="E23" s="3" t="s">
        <v>25</v>
      </c>
      <c r="F23" s="4" t="s">
        <v>59</v>
      </c>
      <c r="G23" s="4" t="s">
        <v>47</v>
      </c>
      <c r="H23" s="4" t="s">
        <v>48</v>
      </c>
      <c r="I23" s="4" t="s">
        <v>54</v>
      </c>
      <c r="J23" s="4" t="s">
        <v>27</v>
      </c>
      <c r="K23" s="4" t="s">
        <v>65</v>
      </c>
    </row>
    <row r="24" spans="1:11" ht="79.5" customHeight="1" x14ac:dyDescent="0.25">
      <c r="A24" s="3" t="s">
        <v>89</v>
      </c>
      <c r="B24" s="4" t="s">
        <v>29</v>
      </c>
      <c r="C24" s="3" t="s">
        <v>40</v>
      </c>
      <c r="D24" s="3" t="s">
        <v>27</v>
      </c>
      <c r="E24" s="3" t="s">
        <v>25</v>
      </c>
      <c r="F24" s="3" t="s">
        <v>38</v>
      </c>
      <c r="G24" s="4" t="s">
        <v>47</v>
      </c>
      <c r="I24" s="4" t="s">
        <v>56</v>
      </c>
      <c r="K24" s="4" t="s">
        <v>64</v>
      </c>
    </row>
    <row r="25" spans="1:11" ht="79.5" customHeight="1" x14ac:dyDescent="0.25">
      <c r="A25" s="3" t="s">
        <v>90</v>
      </c>
      <c r="B25" s="4" t="s">
        <v>29</v>
      </c>
      <c r="C25" s="3" t="s">
        <v>40</v>
      </c>
      <c r="D25" s="3" t="s">
        <v>27</v>
      </c>
      <c r="E25" s="3" t="s">
        <v>24</v>
      </c>
      <c r="F25" s="4" t="s">
        <v>60</v>
      </c>
      <c r="G25" s="4" t="s">
        <v>47</v>
      </c>
      <c r="I25" s="4"/>
      <c r="K25" s="4"/>
    </row>
    <row r="26" spans="1:11" ht="79.5" customHeight="1" x14ac:dyDescent="0.25">
      <c r="A26" s="3" t="s">
        <v>91</v>
      </c>
      <c r="B26" s="4" t="s">
        <v>29</v>
      </c>
      <c r="C26" s="3" t="s">
        <v>40</v>
      </c>
      <c r="D26" s="3" t="s">
        <v>27</v>
      </c>
      <c r="E26" s="3" t="s">
        <v>24</v>
      </c>
      <c r="F26" s="4" t="s">
        <v>61</v>
      </c>
      <c r="G26" s="4" t="s">
        <v>47</v>
      </c>
      <c r="H26" s="4"/>
      <c r="I26" s="4"/>
      <c r="K26" s="4"/>
    </row>
    <row r="27" spans="1:11" ht="79.5" customHeight="1" x14ac:dyDescent="0.25">
      <c r="F27" s="4"/>
      <c r="G27" s="4"/>
      <c r="I27" s="4"/>
      <c r="K27" s="4"/>
    </row>
    <row r="28" spans="1:11" ht="79.5" customHeight="1" x14ac:dyDescent="0.25">
      <c r="F28" s="4"/>
      <c r="G28" s="4"/>
      <c r="H28" s="4"/>
      <c r="I28" s="4"/>
      <c r="K28" s="4"/>
    </row>
    <row r="29" spans="1:11" ht="79.5" customHeight="1" x14ac:dyDescent="0.25">
      <c r="D29" s="4"/>
      <c r="F29" s="4"/>
      <c r="G29" s="4"/>
      <c r="H29" s="5"/>
      <c r="I29" s="4"/>
      <c r="K29" s="4"/>
    </row>
    <row r="30" spans="1:11" ht="79.5" customHeight="1" x14ac:dyDescent="0.25">
      <c r="F30" s="4"/>
      <c r="G30" s="4"/>
      <c r="I30" s="4"/>
      <c r="K30" s="4"/>
    </row>
    <row r="31" spans="1:11" ht="79.5" customHeight="1" x14ac:dyDescent="0.25">
      <c r="F31" s="4"/>
      <c r="G31" s="4"/>
      <c r="I31" s="4"/>
      <c r="K31" s="4"/>
    </row>
    <row r="32" spans="1:11" ht="79.5" customHeight="1" x14ac:dyDescent="0.25">
      <c r="F32" s="4"/>
      <c r="G32" s="4"/>
      <c r="I32" s="4"/>
      <c r="J32" s="4"/>
      <c r="K32" s="4"/>
    </row>
    <row r="33" spans="4:11" ht="79.5" customHeight="1" x14ac:dyDescent="0.25">
      <c r="F33" s="4"/>
      <c r="G33" s="4"/>
      <c r="I33" s="4"/>
      <c r="J33" s="4"/>
      <c r="K33" s="4"/>
    </row>
    <row r="34" spans="4:11" ht="79.5" customHeight="1" x14ac:dyDescent="0.25">
      <c r="F34" s="4"/>
      <c r="G34" s="4"/>
      <c r="I34" s="4"/>
      <c r="J34" s="4"/>
      <c r="K34" s="4"/>
    </row>
    <row r="35" spans="4:11" ht="79.5" customHeight="1" x14ac:dyDescent="0.25">
      <c r="F35" s="4"/>
      <c r="G35" s="4"/>
      <c r="I35" s="4"/>
      <c r="J35" s="4"/>
      <c r="K35" s="4"/>
    </row>
    <row r="36" spans="4:11" ht="79.5" customHeight="1" x14ac:dyDescent="0.25">
      <c r="F36" s="4"/>
      <c r="G36" s="4"/>
      <c r="I36" s="4"/>
      <c r="J36" s="4"/>
      <c r="K36" s="4"/>
    </row>
    <row r="37" spans="4:11" ht="79.5" customHeight="1" x14ac:dyDescent="0.25">
      <c r="F37" s="4"/>
      <c r="G37" s="4"/>
      <c r="H37" s="4"/>
      <c r="I37" s="4"/>
      <c r="K37" s="4"/>
    </row>
    <row r="38" spans="4:11" ht="79.5" customHeight="1" x14ac:dyDescent="0.25">
      <c r="D38" s="4"/>
      <c r="F38" s="4"/>
      <c r="G38" s="4"/>
      <c r="I38" s="4"/>
      <c r="K38" s="4"/>
    </row>
    <row r="39" spans="4:11" ht="79.5" customHeight="1" x14ac:dyDescent="0.25">
      <c r="D39" s="4"/>
      <c r="F39" s="4"/>
      <c r="G39" s="4"/>
      <c r="I39" s="4"/>
      <c r="K39" s="4"/>
    </row>
    <row r="40" spans="4:11" ht="79.5" customHeight="1" x14ac:dyDescent="0.25">
      <c r="D40" s="4"/>
      <c r="F40" s="4"/>
      <c r="G40" s="4"/>
      <c r="I40" s="4"/>
      <c r="K40" s="4"/>
    </row>
    <row r="41" spans="4:11" ht="79.5" customHeight="1" x14ac:dyDescent="0.25">
      <c r="D41" s="4"/>
      <c r="F41" s="4"/>
      <c r="G41" s="4"/>
      <c r="I41" s="4"/>
      <c r="K41" s="4"/>
    </row>
    <row r="42" spans="4:11" ht="79.5" customHeight="1" x14ac:dyDescent="0.25">
      <c r="D42" s="4"/>
      <c r="F42" s="4"/>
      <c r="G42" s="4"/>
      <c r="I42" s="4"/>
      <c r="K42" s="4"/>
    </row>
    <row r="43" spans="4:11" ht="79.5" customHeight="1" x14ac:dyDescent="0.25">
      <c r="D43" s="4"/>
      <c r="F43" s="4"/>
      <c r="G43" s="4"/>
      <c r="I43" s="4"/>
      <c r="K43" s="4"/>
    </row>
    <row r="44" spans="4:11" ht="79.5" customHeight="1" x14ac:dyDescent="0.25">
      <c r="D44" s="4"/>
      <c r="F44" s="4"/>
      <c r="G44" s="4"/>
      <c r="I44" s="4"/>
      <c r="K44" s="4"/>
    </row>
    <row r="45" spans="4:11" ht="79.5" customHeight="1" x14ac:dyDescent="0.25">
      <c r="D45" s="4"/>
      <c r="F45" s="4"/>
      <c r="G45" s="4"/>
      <c r="I45" s="4"/>
      <c r="K45" s="4"/>
    </row>
    <row r="46" spans="4:11" ht="79.5" customHeight="1" x14ac:dyDescent="0.25">
      <c r="D46" s="4"/>
      <c r="F46" s="4"/>
      <c r="G46" s="4"/>
      <c r="I46" s="4"/>
      <c r="K46" s="4"/>
    </row>
    <row r="47" spans="4:11" ht="79.5" customHeight="1" x14ac:dyDescent="0.25">
      <c r="D47" s="4"/>
      <c r="F47" s="4"/>
      <c r="G47" s="4"/>
      <c r="H47" s="4"/>
      <c r="I47" s="4"/>
      <c r="J47" s="4"/>
      <c r="K47" s="4"/>
    </row>
    <row r="48" spans="4:11" ht="79.5" customHeight="1" x14ac:dyDescent="0.25">
      <c r="D48" s="4"/>
      <c r="F48" s="4"/>
      <c r="G48" s="4"/>
      <c r="H48" s="5"/>
      <c r="I48" s="4"/>
      <c r="J48" s="4"/>
      <c r="K48" s="4"/>
    </row>
    <row r="49" spans="4:11" ht="79.5" customHeight="1" x14ac:dyDescent="0.25">
      <c r="D49" s="4"/>
      <c r="F49" s="4"/>
      <c r="G49" s="4"/>
      <c r="H49" s="4"/>
      <c r="I49" s="4"/>
      <c r="J49" s="4"/>
      <c r="K49" s="4"/>
    </row>
    <row r="50" spans="4:11" ht="79.5" customHeight="1" x14ac:dyDescent="0.25">
      <c r="D50" s="4"/>
      <c r="F50" s="4"/>
      <c r="G50" s="4"/>
      <c r="H50" s="5"/>
      <c r="I50" s="4"/>
      <c r="J50" s="4"/>
      <c r="K50" s="4"/>
    </row>
    <row r="51" spans="4:11" ht="79.5" customHeight="1" x14ac:dyDescent="0.25">
      <c r="D51" s="4"/>
      <c r="F51" s="4"/>
      <c r="G51" s="4"/>
      <c r="H51" s="4"/>
      <c r="I51" s="4"/>
      <c r="J51" s="4"/>
      <c r="K51" s="4"/>
    </row>
    <row r="52" spans="4:11" ht="79.5" customHeight="1" x14ac:dyDescent="0.25">
      <c r="D52" s="4"/>
      <c r="F52" s="4"/>
      <c r="G52" s="4"/>
      <c r="H52" s="5"/>
      <c r="I52" s="4"/>
      <c r="J52" s="4"/>
      <c r="K52" s="4"/>
    </row>
    <row r="53" spans="4:11" ht="79.5" customHeight="1" x14ac:dyDescent="0.25">
      <c r="D53" s="4"/>
      <c r="F53" s="4"/>
      <c r="G53" s="4"/>
      <c r="H53" s="4"/>
      <c r="I53" s="4"/>
      <c r="K53" s="4"/>
    </row>
    <row r="54" spans="4:11" ht="79.5" customHeight="1" x14ac:dyDescent="0.25">
      <c r="F54" s="4"/>
      <c r="G54" s="4"/>
      <c r="H54" s="4"/>
      <c r="I54" s="4"/>
      <c r="K54" s="4"/>
    </row>
    <row r="55" spans="4:11" ht="79.5" customHeight="1" x14ac:dyDescent="0.25">
      <c r="F55" s="4"/>
      <c r="G55" s="4"/>
      <c r="H55" s="4"/>
      <c r="I55" s="4"/>
      <c r="K55" s="4"/>
    </row>
    <row r="56" spans="4:11" ht="79.5" customHeight="1" x14ac:dyDescent="0.25">
      <c r="F56" s="4"/>
      <c r="G56" s="4"/>
      <c r="H56" s="4"/>
      <c r="I56" s="4"/>
      <c r="K56" s="4"/>
    </row>
    <row r="57" spans="4:11" ht="79.5" customHeight="1" x14ac:dyDescent="0.25">
      <c r="F57" s="4"/>
      <c r="G57" s="4"/>
      <c r="H57" s="4"/>
      <c r="I57" s="4"/>
      <c r="K57" s="4"/>
    </row>
    <row r="58" spans="4:11" ht="79.5" customHeight="1" x14ac:dyDescent="0.25">
      <c r="F58" s="4"/>
      <c r="G58" s="4"/>
      <c r="H58" s="4"/>
      <c r="I58" s="4"/>
      <c r="K58" s="4"/>
    </row>
    <row r="59" spans="4:11" ht="79.5" customHeight="1" x14ac:dyDescent="0.25">
      <c r="F59" s="4"/>
      <c r="G59" s="4"/>
      <c r="H59" s="4"/>
      <c r="I59" s="4"/>
      <c r="K59" s="4"/>
    </row>
    <row r="60" spans="4:11" ht="79.5" customHeight="1" x14ac:dyDescent="0.25">
      <c r="F60" s="4"/>
      <c r="G60" s="4"/>
      <c r="H60" s="4"/>
      <c r="I60" s="4"/>
      <c r="K60" s="4"/>
    </row>
    <row r="61" spans="4:11" ht="79.5" customHeight="1" x14ac:dyDescent="0.25">
      <c r="F61" s="4"/>
      <c r="G61" s="4"/>
      <c r="H61" s="4"/>
      <c r="I61" s="4"/>
      <c r="K61" s="4"/>
    </row>
    <row r="62" spans="4:11" ht="79.5" customHeight="1" x14ac:dyDescent="0.25">
      <c r="F62" s="4"/>
      <c r="G62" s="4"/>
      <c r="H62" s="4"/>
      <c r="I62" s="4"/>
      <c r="K62" s="4"/>
    </row>
    <row r="63" spans="4:11" ht="79.5" customHeight="1" x14ac:dyDescent="0.25">
      <c r="F63" s="4"/>
      <c r="G63" s="4"/>
      <c r="H63" s="4"/>
      <c r="I63" s="4"/>
      <c r="K63" s="4"/>
    </row>
  </sheetData>
  <phoneticPr fontId="3" type="noConversion"/>
  <dataValidations count="4">
    <dataValidation type="list" allowBlank="1" showInputMessage="1" showErrorMessage="1" sqref="C2966:C2974" xr:uid="{8762DD87-9B50-49CD-8BAC-DE0563202E76}">
      <formula1>#REF!</formula1>
    </dataValidation>
    <dataValidation type="list" allowBlank="1" showInputMessage="1" showErrorMessage="1" sqref="C2:C2965" xr:uid="{6D2F0A37-A849-4671-889A-274CF2170C52}">
      <formula1>"Positive,Negative,Security"</formula1>
    </dataValidation>
    <dataValidation type="list" sqref="M2:M465" xr:uid="{00000000-0002-0000-0000-000000000000}">
      <formula1>"Pass,Fail,Blocked,Not Executed"</formula1>
    </dataValidation>
    <dataValidation type="list" sqref="N2:N465" xr:uid="{00000000-0002-0000-0000-000001000000}">
      <formula1>"Critical,High,Medium,Low"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13" sqref="B13"/>
    </sheetView>
  </sheetViews>
  <sheetFormatPr defaultRowHeight="15" x14ac:dyDescent="0.25"/>
  <sheetData>
    <row r="1" spans="1:2" ht="18.75" x14ac:dyDescent="0.3">
      <c r="A1" s="2" t="s">
        <v>16</v>
      </c>
    </row>
    <row r="3" spans="1:2" x14ac:dyDescent="0.25">
      <c r="A3" t="s">
        <v>17</v>
      </c>
      <c r="B3">
        <f>COUNTA(Payroll_NBO!A:A)-1</f>
        <v>25</v>
      </c>
    </row>
    <row r="4" spans="1:2" x14ac:dyDescent="0.25">
      <c r="A4" t="s">
        <v>18</v>
      </c>
      <c r="B4">
        <f>COUNTIF(Payroll_NBO!M:M,"Pass")</f>
        <v>0</v>
      </c>
    </row>
    <row r="5" spans="1:2" x14ac:dyDescent="0.25">
      <c r="A5" t="s">
        <v>19</v>
      </c>
      <c r="B5">
        <f>COUNTIF(Payroll_NBO!M:M,"Fail")</f>
        <v>0</v>
      </c>
    </row>
    <row r="6" spans="1:2" x14ac:dyDescent="0.25">
      <c r="A6" t="s">
        <v>20</v>
      </c>
      <c r="B6">
        <f>COUNTIF(Payroll_NBO!M:M,"Blocked")</f>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129B5931174F429E4ADD9B22E046BC" ma:contentTypeVersion="20" ma:contentTypeDescription="Create a new document." ma:contentTypeScope="" ma:versionID="aecfb3c7e6436427ee61dc1e6c543116">
  <xsd:schema xmlns:xsd="http://www.w3.org/2001/XMLSchema" xmlns:xs="http://www.w3.org/2001/XMLSchema" xmlns:p="http://schemas.microsoft.com/office/2006/metadata/properties" xmlns:ns1="http://schemas.microsoft.com/sharepoint/v3" xmlns:ns2="a4bd27fc-8fa7-46ce-804f-1819f16fa72c" xmlns:ns3="1995ccf6-a3a0-4091-86dd-bcc0417bfea4" targetNamespace="http://schemas.microsoft.com/office/2006/metadata/properties" ma:root="true" ma:fieldsID="5fa6a8997990b13914330af02b74712d" ns1:_="" ns2:_="" ns3:_="">
    <xsd:import namespace="http://schemas.microsoft.com/sharepoint/v3"/>
    <xsd:import namespace="a4bd27fc-8fa7-46ce-804f-1819f16fa72c"/>
    <xsd:import namespace="1995ccf6-a3a0-4091-86dd-bcc0417bf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bd27fc-8fa7-46ce-804f-1819f16fa72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2aab9fa-9641-425a-829e-6b1714ac558c}" ma:internalName="TaxCatchAll" ma:showField="CatchAllData" ma:web="a4bd27fc-8fa7-46ce-804f-1819f16fa72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995ccf6-a3a0-4091-86dd-bcc0417bfe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eb2da71-f184-4254-8e62-0576d24e8d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4bd27fc-8fa7-46ce-804f-1819f16fa72c" xsi:nil="true"/>
    <lcf76f155ced4ddcb4097134ff3c332f xmlns="1995ccf6-a3a0-4091-86dd-bcc0417bfe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336BC0-A9F2-46E0-BA9E-EB2D12C44245}"/>
</file>

<file path=customXml/itemProps2.xml><?xml version="1.0" encoding="utf-8"?>
<ds:datastoreItem xmlns:ds="http://schemas.openxmlformats.org/officeDocument/2006/customXml" ds:itemID="{0D192795-F308-4C6A-8F38-921E34757379}"/>
</file>

<file path=customXml/itemProps3.xml><?xml version="1.0" encoding="utf-8"?>
<ds:datastoreItem xmlns:ds="http://schemas.openxmlformats.org/officeDocument/2006/customXml" ds:itemID="{43F88422-BA9E-4245-9DB2-CCF7DC70CA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Payroll_NBO</vt:lpstr>
      <vt:lpstr>Execution_Summary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Annamalai G</dc:creator>
  <cp:keywords/>
  <dc:description/>
  <cp:lastModifiedBy>Pranob Ishar</cp:lastModifiedBy>
  <cp:revision/>
  <dcterms:created xsi:type="dcterms:W3CDTF">2026-08-02T04:09:46Z</dcterms:created>
  <dcterms:modified xsi:type="dcterms:W3CDTF">2026-09-03T07:47:25Z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0x01010030129B5931174F429E4ADD9B22E046BC</vt:lpwstr>
  </property>
</Properties>
</file>